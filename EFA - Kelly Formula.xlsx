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rney-my.sharepoint.com/personal/jadyn_tafoya_garney_com/Documents/Personal/"/>
    </mc:Choice>
  </mc:AlternateContent>
  <xr:revisionPtr revIDLastSave="0" documentId="8_{7A459B29-B768-415B-97FC-54C76D4F1FE3}" xr6:coauthVersionLast="47" xr6:coauthVersionMax="47" xr10:uidLastSave="{00000000-0000-0000-0000-000000000000}"/>
  <bookViews>
    <workbookView xWindow="-108" yWindow="-108" windowWidth="23256" windowHeight="13896" xr2:uid="{650D53B0-140B-47E4-AB39-04658C2B3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1" l="1"/>
  <c r="C17" i="1"/>
  <c r="C19" i="1" s="1"/>
  <c r="C15" i="1"/>
  <c r="C12" i="1"/>
</calcChain>
</file>

<file path=xl/sharedStrings.xml><?xml version="1.0" encoding="utf-8"?>
<sst xmlns="http://schemas.openxmlformats.org/spreadsheetml/2006/main" count="40" uniqueCount="35">
  <si>
    <t>f* = (p * b - q) / b</t>
  </si>
  <si>
    <t>f*</t>
  </si>
  <si>
    <t>p</t>
  </si>
  <si>
    <t>Probability of winning</t>
  </si>
  <si>
    <t>q</t>
  </si>
  <si>
    <t>1 - p = probability of losing</t>
  </si>
  <si>
    <t>b</t>
  </si>
  <si>
    <t>net odds received per unit wagered (+100 odds means b = 1)</t>
  </si>
  <si>
    <t>Win Probability</t>
  </si>
  <si>
    <t>Net Odds</t>
  </si>
  <si>
    <t>Bankroll Size</t>
  </si>
  <si>
    <t>Continuous Kelly</t>
  </si>
  <si>
    <t>Kelly Adjustment</t>
  </si>
  <si>
    <t>fraction of bankroll to invest (Kelly Fraction)</t>
  </si>
  <si>
    <t>Adjust for 1/4, 1/2, 3/4, and full Kelly</t>
  </si>
  <si>
    <t>Win Rate</t>
  </si>
  <si>
    <t>Total Trades (N)</t>
  </si>
  <si>
    <t>Number of Winners</t>
  </si>
  <si>
    <t>Adjust Win Rate formula to manipulate</t>
  </si>
  <si>
    <t>Adjust Odds to your liking; i.e. 1 = +100, 2 = +200, etc.</t>
  </si>
  <si>
    <t>Bankroll size, Keep this a constant so that your percentage values don't change abruptly, I have this set equal to net odds currently</t>
  </si>
  <si>
    <t>Kelly Equation</t>
  </si>
  <si>
    <t>Adjust cell B14 for Kelly</t>
  </si>
  <si>
    <t xml:space="preserve">Used for long term financial asset returns </t>
  </si>
  <si>
    <r>
      <t>f* = (</t>
    </r>
    <r>
      <rPr>
        <sz val="11"/>
        <color theme="1"/>
        <rFont val="Aptos Narrow"/>
        <family val="2"/>
      </rPr>
      <t>Ч - r) / (σ^2)</t>
    </r>
  </si>
  <si>
    <t>Kelly Fraction</t>
  </si>
  <si>
    <t>Ч</t>
  </si>
  <si>
    <t>r</t>
  </si>
  <si>
    <t>Expected Excess return of asset, above risk-free rate</t>
  </si>
  <si>
    <t>risk free rate</t>
  </si>
  <si>
    <t>Variance (risk) of the asset's returns</t>
  </si>
  <si>
    <t>σ^2</t>
  </si>
  <si>
    <t>risk free rate (0.03 for 3% annual)</t>
  </si>
  <si>
    <t>Expected return (0.10 for 10% annual return)</t>
  </si>
  <si>
    <t>Volatility / Variance (0.04 for 20% Standard Deviation)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</si>
</sst>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D0FD-7202-4095-933E-12E128A9B08D}">
  <dimension ref="B2:D31"/>
  <sheetViews>
    <sheetView tabSelected="1" workbookViewId="0">
      <selection activeCell="D22" sqref="D22"/>
    </sheetView>
  </sheetViews>
  <sheetFormatPr defaultRowHeight="14.4" x14ac:dyDescent="0.3"/>
  <cols>
    <col min="2" max="2" width="23.88671875" customWidth="1"/>
    <col min="3" max="3" width="48.33203125" customWidth="1"/>
    <col min="4" max="4" width="103.6640625" customWidth="1"/>
    <col min="5" max="5" width="27.88671875" customWidth="1"/>
  </cols>
  <sheetData>
    <row r="2" spans="2:4" ht="15" thickBot="1" x14ac:dyDescent="0.35"/>
    <row r="3" spans="2:4" x14ac:dyDescent="0.3">
      <c r="B3" s="13" t="s">
        <v>0</v>
      </c>
      <c r="C3" s="14"/>
    </row>
    <row r="4" spans="2:4" x14ac:dyDescent="0.3">
      <c r="B4" s="5" t="s">
        <v>1</v>
      </c>
      <c r="C4" s="6" t="s">
        <v>13</v>
      </c>
    </row>
    <row r="5" spans="2:4" x14ac:dyDescent="0.3">
      <c r="B5" s="5" t="s">
        <v>2</v>
      </c>
      <c r="C5" s="6" t="s">
        <v>3</v>
      </c>
    </row>
    <row r="6" spans="2:4" x14ac:dyDescent="0.3">
      <c r="B6" s="5" t="s">
        <v>4</v>
      </c>
      <c r="C6" s="6" t="s">
        <v>5</v>
      </c>
    </row>
    <row r="7" spans="2:4" ht="15" thickBot="1" x14ac:dyDescent="0.35">
      <c r="B7" s="7" t="s">
        <v>6</v>
      </c>
      <c r="C7" s="8" t="s">
        <v>7</v>
      </c>
    </row>
    <row r="8" spans="2:4" ht="15" thickBot="1" x14ac:dyDescent="0.35"/>
    <row r="9" spans="2:4" x14ac:dyDescent="0.3">
      <c r="B9" s="13" t="s">
        <v>15</v>
      </c>
      <c r="C9" s="14"/>
    </row>
    <row r="10" spans="2:4" x14ac:dyDescent="0.3">
      <c r="B10" s="9" t="s">
        <v>16</v>
      </c>
      <c r="C10" s="10">
        <v>100</v>
      </c>
    </row>
    <row r="11" spans="2:4" x14ac:dyDescent="0.3">
      <c r="B11" s="9" t="s">
        <v>17</v>
      </c>
      <c r="C11" s="10">
        <v>60</v>
      </c>
    </row>
    <row r="12" spans="2:4" ht="15" thickBot="1" x14ac:dyDescent="0.35">
      <c r="B12" s="11" t="s">
        <v>15</v>
      </c>
      <c r="C12" s="12">
        <f>C11/C10</f>
        <v>0.6</v>
      </c>
    </row>
    <row r="13" spans="2:4" ht="15" thickBot="1" x14ac:dyDescent="0.35"/>
    <row r="14" spans="2:4" x14ac:dyDescent="0.3">
      <c r="B14" s="16" t="s">
        <v>12</v>
      </c>
      <c r="C14" s="17">
        <v>0.5</v>
      </c>
      <c r="D14" s="15" t="s">
        <v>14</v>
      </c>
    </row>
    <row r="15" spans="2:4" x14ac:dyDescent="0.3">
      <c r="B15" s="18" t="s">
        <v>8</v>
      </c>
      <c r="C15" s="10">
        <f>C12</f>
        <v>0.6</v>
      </c>
      <c r="D15" s="15" t="s">
        <v>18</v>
      </c>
    </row>
    <row r="16" spans="2:4" x14ac:dyDescent="0.3">
      <c r="B16" s="18" t="s">
        <v>9</v>
      </c>
      <c r="C16" s="10">
        <v>1.5</v>
      </c>
      <c r="D16" s="15" t="s">
        <v>19</v>
      </c>
    </row>
    <row r="17" spans="2:4" ht="15" thickBot="1" x14ac:dyDescent="0.35">
      <c r="B17" s="19" t="s">
        <v>10</v>
      </c>
      <c r="C17" s="12">
        <f>C16</f>
        <v>1.5</v>
      </c>
      <c r="D17" s="15" t="s">
        <v>20</v>
      </c>
    </row>
    <row r="18" spans="2:4" ht="15" thickBot="1" x14ac:dyDescent="0.35">
      <c r="B18" s="2"/>
      <c r="C18" s="1"/>
    </row>
    <row r="19" spans="2:4" ht="15" thickBot="1" x14ac:dyDescent="0.35">
      <c r="B19" s="20" t="s">
        <v>21</v>
      </c>
      <c r="C19" s="22">
        <f>C14*((C15*(C16+1)-(1-C15))/C17)</f>
        <v>0.3666666666666667</v>
      </c>
      <c r="D19" t="s">
        <v>22</v>
      </c>
    </row>
    <row r="20" spans="2:4" ht="15" thickBot="1" x14ac:dyDescent="0.35">
      <c r="B20" s="2"/>
      <c r="C20" s="1"/>
    </row>
    <row r="21" spans="2:4" x14ac:dyDescent="0.3">
      <c r="B21" s="3" t="s">
        <v>24</v>
      </c>
      <c r="C21" s="4"/>
    </row>
    <row r="22" spans="2:4" x14ac:dyDescent="0.3">
      <c r="B22" s="5" t="s">
        <v>1</v>
      </c>
      <c r="C22" s="6" t="s">
        <v>25</v>
      </c>
    </row>
    <row r="23" spans="2:4" x14ac:dyDescent="0.3">
      <c r="B23" s="5" t="s">
        <v>26</v>
      </c>
      <c r="C23" s="6" t="s">
        <v>28</v>
      </c>
      <c r="D23" t="s">
        <v>33</v>
      </c>
    </row>
    <row r="24" spans="2:4" x14ac:dyDescent="0.3">
      <c r="B24" s="5" t="s">
        <v>27</v>
      </c>
      <c r="C24" s="6" t="s">
        <v>29</v>
      </c>
      <c r="D24" t="s">
        <v>32</v>
      </c>
    </row>
    <row r="25" spans="2:4" ht="15" thickBot="1" x14ac:dyDescent="0.35">
      <c r="B25" s="7" t="s">
        <v>31</v>
      </c>
      <c r="C25" s="8" t="s">
        <v>30</v>
      </c>
      <c r="D25" t="s">
        <v>34</v>
      </c>
    </row>
    <row r="26" spans="2:4" ht="15" thickBot="1" x14ac:dyDescent="0.35">
      <c r="B26" s="1"/>
    </row>
    <row r="27" spans="2:4" x14ac:dyDescent="0.3">
      <c r="B27" s="21" t="s">
        <v>26</v>
      </c>
      <c r="C27" s="17">
        <v>0.15</v>
      </c>
    </row>
    <row r="28" spans="2:4" x14ac:dyDescent="0.3">
      <c r="B28" s="9" t="s">
        <v>27</v>
      </c>
      <c r="C28" s="10">
        <v>0.03</v>
      </c>
    </row>
    <row r="29" spans="2:4" ht="15" thickBot="1" x14ac:dyDescent="0.35">
      <c r="B29" s="7" t="s">
        <v>31</v>
      </c>
      <c r="C29" s="12">
        <v>0.05</v>
      </c>
    </row>
    <row r="30" spans="2:4" ht="15" thickBot="1" x14ac:dyDescent="0.35"/>
    <row r="31" spans="2:4" ht="15" thickBot="1" x14ac:dyDescent="0.35">
      <c r="B31" s="20" t="s">
        <v>11</v>
      </c>
      <c r="C31" s="22">
        <f>(C27-C28)/(C29)</f>
        <v>2.4</v>
      </c>
      <c r="D31" t="s">
        <v>23</v>
      </c>
    </row>
  </sheetData>
  <mergeCells count="3">
    <mergeCell ref="B3:C3"/>
    <mergeCell ref="B9:C9"/>
    <mergeCell ref="B21:C21"/>
  </mergeCells>
  <dataValidations count="1">
    <dataValidation type="list" allowBlank="1" showInputMessage="1" showErrorMessage="1" sqref="C14" xr:uid="{55C79CCA-3639-47F2-BA6E-226CB0DDC5FC}">
      <formula1>"0.25, 0.5, 0.75, 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Jadyn Tafoya</dc:creator>
  <cp:lastModifiedBy>Jadyn Tafoya</cp:lastModifiedBy>
  <dcterms:created xsi:type="dcterms:W3CDTF">2026-08-22T13:54:47Z</dcterms:created>
  <dcterms:modified xsi:type="dcterms:W3CDTF">2026-08-22T17:04:13Z</dcterms:modified>
</cp:coreProperties>
</file>